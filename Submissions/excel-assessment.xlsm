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c5733121700526e/Attachments/Desktop/"/>
    </mc:Choice>
  </mc:AlternateContent>
  <xr:revisionPtr revIDLastSave="0" documentId="8_{CF9CB51F-1363-42F2-B378-CC1B5E2C7A3F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/>
  <c r="F19" i="16"/>
  <c r="E19" i="16"/>
  <c r="D19" i="16"/>
  <c r="C19" i="16"/>
  <c r="B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F30" i="18" s="1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D28" i="18" s="1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E28" i="18" s="1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29" i="18" s="1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B29" i="18" s="1"/>
  <c r="H41" i="1"/>
  <c r="D29" i="18" l="1"/>
  <c r="C30" i="18"/>
  <c r="B28" i="18"/>
  <c r="C28" i="18"/>
  <c r="D30" i="18"/>
  <c r="F29" i="18"/>
  <c r="B30" i="18"/>
  <c r="E30" i="18"/>
  <c r="E29" i="18"/>
  <c r="F28" i="18"/>
</calcChain>
</file>

<file path=xl/sharedStrings.xml><?xml version="1.0" encoding="utf-8"?>
<sst xmlns="http://schemas.openxmlformats.org/spreadsheetml/2006/main" count="339" uniqueCount="194">
  <si>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</si>
  <si>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</si>
  <si>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</si>
  <si>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</si>
  <si>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</si>
  <si>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</si>
  <si>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</si>
  <si>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</si>
  <si>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</si>
  <si>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</si>
  <si>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</si>
  <si>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</si>
  <si>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</si>
  <si>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</si>
  <si>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</si>
  <si>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</si>
  <si>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</si>
  <si>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</si>
  <si>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</si>
  <si>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</si>
  <si>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</si>
  <si>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</si>
  <si>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</si>
  <si>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</si>
  <si>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</si>
  <si>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</si>
  <si>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</si>
  <si>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</si>
  <si>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</si>
  <si>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</si>
  <si>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</si>
  <si>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</si>
  <si>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</si>
  <si>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</si>
  <si>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</si>
  <si>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</si>
  <si>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</si>
  <si>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</si>
  <si>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</si>
  <si>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</si>
  <si>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</si>
  <si>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</si>
  <si>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</si>
  <si>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</si>
  <si>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</si>
  <si>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</si>
  <si>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</si>
  <si>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</si>
  <si>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</si>
  <si>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</si>
  <si>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</si>
  <si>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</si>
  <si>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</si>
  <si>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</si>
  <si>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</si>
  <si>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</si>
  <si>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</si>
  <si>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</si>
  <si>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</si>
  <si>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</si>
  <si>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</si>
  <si>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</si>
  <si>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</si>
  <si>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</si>
  <si>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</si>
  <si>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</si>
  <si>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</si>
  <si>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</si>
  <si>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</si>
  <si>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</si>
  <si>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</si>
  <si>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</si>
  <si>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</si>
  <si>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</si>
  <si>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</si>
  <si>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</si>
  <si>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</si>
  <si>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</si>
  <si>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</si>
  <si>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</si>
  <si>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</si>
  <si>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</si>
  <si>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</si>
  <si>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</si>
  <si>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</si>
  <si>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</si>
  <si>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</si>
  <si>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</si>
  <si>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</si>
  <si>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</si>
  <si>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</si>
  <si>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</si>
  <si>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</si>
  <si>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</si>
  <si>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</si>
  <si>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</si>
  <si>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</si>
  <si>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</si>
  <si>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</si>
  <si>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</si>
  <si>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</si>
  <si>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</si>
  <si>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</si>
  <si>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</si>
  <si>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</si>
  <si>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</si>
  <si>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</si>
  <si>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</si>
  <si>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</si>
  <si>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</si>
  <si>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</si>
  <si>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</si>
  <si>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</si>
  <si>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</si>
  <si>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</si>
  <si>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</si>
  <si>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</si>
  <si>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</si>
  <si>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</si>
  <si>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</si>
  <si>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</si>
  <si>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</si>
  <si>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</si>
  <si>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</si>
  <si>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</si>
  <si>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</si>
  <si>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</si>
  <si>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</si>
  <si>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</si>
  <si>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</si>
  <si>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</si>
  <si>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</si>
  <si>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</si>
  <si>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</si>
  <si>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</si>
  <si>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</si>
  <si>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</si>
  <si>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</si>
  <si>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</si>
  <si>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</si>
  <si>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</si>
  <si>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</si>
  <si>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</si>
  <si>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</si>
  <si>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</si>
  <si>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</si>
  <si>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</si>
  <si>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</si>
  <si>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</si>
  <si>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</si>
  <si>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</si>
  <si>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</si>
  <si>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</si>
  <si>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</si>
  <si>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</si>
  <si>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</si>
  <si>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</si>
  <si>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</si>
  <si>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</si>
  <si>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</si>
  <si>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</si>
  <si>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</si>
  <si>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</si>
  <si>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</si>
  <si>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</si>
  <si>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</si>
  <si>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</si>
  <si>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</si>
  <si>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</si>
  <si>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</si>
  <si>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</si>
  <si>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</si>
  <si>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</si>
  <si>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</si>
  <si>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</si>
  <si>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</si>
  <si>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</si>
  <si>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SUMIF(H2:H40,"&gt;20")</t>
  </si>
  <si>
    <t>This formula extracts the first part of the string before the first hyphen.</t>
  </si>
  <si>
    <t>This formula finds the second part of the string between the first and second hyphen.</t>
  </si>
  <si>
    <t>This formula retrieves the value between the second and third hyphen.</t>
  </si>
  <si>
    <t>RIGHT(A19, LEN(A19) - FIND("~", SUBSTITUTE(A19, "-", "~", 4)))</t>
  </si>
  <si>
    <t>LEFT(A19, FIND("-", A19) - 1)</t>
  </si>
  <si>
    <t>MID(A19, FIND("-", A19) + 1, FIND("-", A19, FIND("-", A19) + 1) - FIND("-", A19) - 1)</t>
  </si>
  <si>
    <t>MID(A19, FIND("-", A19, FIND("-", A19) + 1) + 1, FIND("-", A19, FIND("-", A19, FIND("-", A19) + 1) + 1) - FIND("-", A19, FIND("-", A19) + 1) - 1)</t>
  </si>
  <si>
    <t>MID(A19, FIND("-", A19, FIND("-", A19, FIND("-", A19) + 1) + 1) + 1, FIND("-", A19, FIND("-", A19, FIND("-", A19, FIND("-", A19) + 1) + 1) + 1) - FIND("-", A19, FIND("-", A19, FIND("-", A19) + 1) + 1) - 1)</t>
  </si>
  <si>
    <t>This formula extracts the value between the third and fourth hyphen.</t>
  </si>
  <si>
    <r>
      <t>This formula retrieves the last part of the string after the fourth hyphen. It uses subtitute to replace the fourth hyphen with a unique character (</t>
    </r>
    <r>
      <rPr>
        <sz val="10"/>
        <color rgb="FF000000"/>
        <rFont val="Arial Unicode MS"/>
      </rPr>
      <t>~</t>
    </r>
    <r>
      <rPr>
        <sz val="10"/>
        <color rgb="FF000000"/>
        <rFont val="Times New Roman"/>
        <family val="1"/>
      </rPr>
      <t>) and then finds the length of the string to get the remaining characters.</t>
    </r>
  </si>
  <si>
    <t>SUMIF(C12:C21, "&lt;&gt;#N/A") + COUNTIF(C12:C21, "#N/A") * 20</t>
  </si>
  <si>
    <r>
      <t>SUMIF(A1:A10, "&lt;&gt;#N/A")</t>
    </r>
    <r>
      <rPr>
        <sz val="10"/>
        <color rgb="FF000000"/>
        <rFont val="Times New Roman"/>
        <family val="1"/>
      </rPr>
      <t xml:space="preserve"> sums all the numbers in the range that are not </t>
    </r>
    <r>
      <rPr>
        <sz val="10"/>
        <color rgb="FF000000"/>
        <rFont val="Arial Unicode MS"/>
      </rPr>
      <t>#N/A</t>
    </r>
  </si>
  <si>
    <r>
      <t>COUNTIF(A1:A10, "#N/A")</t>
    </r>
    <r>
      <rPr>
        <sz val="10"/>
        <color rgb="FF000000"/>
        <rFont val="Times New Roman"/>
        <family val="1"/>
      </rPr>
      <t xml:space="preserve"> counts how many </t>
    </r>
    <r>
      <rPr>
        <sz val="10"/>
        <color rgb="FF000000"/>
        <rFont val="Arial Unicode MS"/>
      </rPr>
      <t>#N/A</t>
    </r>
    <r>
      <rPr>
        <sz val="10"/>
        <color rgb="FF000000"/>
        <rFont val="Times New Roman"/>
        <family val="1"/>
      </rPr>
      <t xml:space="preserve"> values are present in the range</t>
    </r>
  </si>
  <si>
    <r>
      <t xml:space="preserve">Multiplying the count of </t>
    </r>
    <r>
      <rPr>
        <sz val="10"/>
        <color rgb="FF000000"/>
        <rFont val="Arial Unicode MS"/>
      </rPr>
      <t>#N/A</t>
    </r>
    <r>
      <rPr>
        <sz val="10"/>
        <color rgb="FF000000"/>
        <rFont val="Times New Roman"/>
        <family val="1"/>
      </rPr>
      <t xml:space="preserve"> values by 20 gives you the total contribution of those errors to the sum.</t>
    </r>
  </si>
  <si>
    <t>IFERROR(INDEX($A$10:$J$18, MATCH(VLOOKUP(A23, $M$10:$N$18, 2, FALSE), $A$10:$A$18, 0), MATCH(VLOOKUP(B23, $M$10:$N$18, 2, FALSE), $A$9:$J$9, 0)), "N/A")</t>
  </si>
  <si>
    <t>This formula retrieves a value from a specified table based on two criteria. It uses lookup functions to find corresponding values and their positions within the table. If any error occurs during the process, it returns a specified message instead of an error.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</si>
</sst>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20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color rgb="FF000000"/>
      <name val="Calibri"/>
      <family val="2"/>
      <scheme val="minor"/>
    </font>
    <font>
      <sz val="10"/>
      <color rgb="FF000000"/>
      <name val="Arial Unicode MS"/>
    </font>
  </fonts>
  <fills count="10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8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16" xfId="0" applyFont="1" applyBorder="1"/>
    <xf numFmtId="0" fontId="8" fillId="0" borderId="20" xfId="0" applyFont="1" applyBorder="1"/>
    <xf numFmtId="0" fontId="8" fillId="7" borderId="1" xfId="0" applyFont="1" applyFill="1" applyBorder="1"/>
    <xf numFmtId="0" fontId="18" fillId="6" borderId="11" xfId="0" applyFont="1" applyFill="1" applyBorder="1" applyAlignment="1">
      <alignment horizontal="center"/>
    </xf>
    <xf numFmtId="0" fontId="18" fillId="6" borderId="14" xfId="0" applyFont="1" applyFill="1" applyBorder="1" applyAlignment="1">
      <alignment horizontal="center"/>
    </xf>
    <xf numFmtId="0" fontId="18" fillId="6" borderId="12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/>
    </xf>
    <xf numFmtId="0" fontId="18" fillId="6" borderId="15" xfId="0" applyFont="1" applyFill="1" applyBorder="1" applyAlignment="1">
      <alignment horizontal="center"/>
    </xf>
    <xf numFmtId="0" fontId="18" fillId="6" borderId="16" xfId="0" applyFont="1" applyFill="1" applyBorder="1" applyAlignment="1">
      <alignment horizontal="center"/>
    </xf>
    <xf numFmtId="0" fontId="2" fillId="7" borderId="15" xfId="0" applyFont="1" applyFill="1" applyBorder="1" applyAlignment="1">
      <alignment horizontal="center"/>
    </xf>
    <xf numFmtId="0" fontId="2" fillId="7" borderId="16" xfId="0" applyFont="1" applyFill="1" applyBorder="1" applyAlignment="1">
      <alignment horizontal="center"/>
    </xf>
    <xf numFmtId="0" fontId="2" fillId="7" borderId="19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0" fontId="18" fillId="6" borderId="17" xfId="0" applyFont="1" applyFill="1" applyBorder="1" applyAlignment="1">
      <alignment horizontal="center"/>
    </xf>
    <xf numFmtId="0" fontId="18" fillId="6" borderId="18" xfId="0" applyFont="1" applyFill="1" applyBorder="1" applyAlignment="1">
      <alignment horizontal="center"/>
    </xf>
    <xf numFmtId="0" fontId="3" fillId="8" borderId="19" xfId="0" applyFont="1" applyFill="1" applyBorder="1" applyAlignment="1">
      <alignment horizontal="center"/>
    </xf>
    <xf numFmtId="0" fontId="3" fillId="8" borderId="15" xfId="0" applyFont="1" applyFill="1" applyBorder="1" applyAlignment="1">
      <alignment horizontal="center"/>
    </xf>
    <xf numFmtId="0" fontId="3" fillId="8" borderId="16" xfId="0" applyFont="1" applyFill="1" applyBorder="1" applyAlignment="1">
      <alignment horizontal="center"/>
    </xf>
    <xf numFmtId="0" fontId="19" fillId="7" borderId="19" xfId="0" applyFont="1" applyFill="1" applyBorder="1" applyAlignment="1">
      <alignment horizontal="center"/>
    </xf>
    <xf numFmtId="0" fontId="19" fillId="7" borderId="15" xfId="0" applyFont="1" applyFill="1" applyBorder="1" applyAlignment="1">
      <alignment horizontal="center"/>
    </xf>
    <xf numFmtId="0" fontId="19" fillId="7" borderId="13" xfId="0" applyFont="1" applyFill="1" applyBorder="1" applyAlignment="1">
      <alignment horizontal="center"/>
    </xf>
    <xf numFmtId="0" fontId="19" fillId="7" borderId="0" xfId="0" applyFont="1" applyFill="1" applyAlignment="1">
      <alignment horizontal="center"/>
    </xf>
    <xf numFmtId="0" fontId="2" fillId="7" borderId="21" xfId="0" applyFont="1" applyFill="1" applyBorder="1" applyAlignment="1">
      <alignment horizontal="center"/>
    </xf>
    <xf numFmtId="0" fontId="2" fillId="7" borderId="17" xfId="0" applyFont="1" applyFill="1" applyBorder="1" applyAlignment="1">
      <alignment horizontal="center"/>
    </xf>
    <xf numFmtId="0" fontId="2" fillId="7" borderId="18" xfId="0" applyFont="1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15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0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/>
  <cols>
    <col min="1" max="1" width="70.796875" style="2" bestFit="1" customWidth="1"/>
    <col min="2" max="16384" width="11" style="2"/>
  </cols>
  <sheetData>
    <row r="1" spans="1:3" ht="18.5">
      <c r="A1" s="38" t="s">
        <v>108</v>
      </c>
    </row>
    <row r="2" spans="1:3">
      <c r="A2" s="2" t="s">
        <v>109</v>
      </c>
    </row>
    <row r="3" spans="1:3">
      <c r="A3" s="2" t="s">
        <v>110</v>
      </c>
    </row>
    <row r="4" spans="1:3" ht="14.5">
      <c r="A4" s="2" t="s">
        <v>176</v>
      </c>
      <c r="C4" s="1"/>
    </row>
    <row r="5" spans="1:3">
      <c r="A5" s="2" t="s">
        <v>151</v>
      </c>
    </row>
    <row r="8" spans="1:3">
      <c r="A8" s="2" t="s">
        <v>172</v>
      </c>
    </row>
    <row r="9" spans="1:3">
      <c r="A9" s="35" t="s">
        <v>170</v>
      </c>
      <c r="B9" s="25" t="s">
        <v>168</v>
      </c>
    </row>
    <row r="10" spans="1:3">
      <c r="A10" s="34" t="s">
        <v>171</v>
      </c>
      <c r="B10" s="36">
        <v>25</v>
      </c>
    </row>
    <row r="11" spans="1:3">
      <c r="A11" s="34" t="s">
        <v>55</v>
      </c>
      <c r="B11" s="36">
        <v>30</v>
      </c>
    </row>
    <row r="12" spans="1:3">
      <c r="A12" s="34" t="s">
        <v>56</v>
      </c>
      <c r="B12" s="36">
        <v>10</v>
      </c>
    </row>
    <row r="13" spans="1:3">
      <c r="A13" s="34" t="s">
        <v>85</v>
      </c>
      <c r="B13" s="36">
        <v>20</v>
      </c>
    </row>
    <row r="14" spans="1:3">
      <c r="A14" s="34" t="s">
        <v>98</v>
      </c>
      <c r="B14" s="36">
        <v>40</v>
      </c>
    </row>
    <row r="15" spans="1:3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C1" zoomScaleNormal="100" workbookViewId="0">
      <pane ySplit="1" topLeftCell="A12" activePane="bottomLeft" state="frozen"/>
      <selection pane="bottomLeft" activeCell="G2" sqref="G2"/>
    </sheetView>
  </sheetViews>
  <sheetFormatPr defaultColWidth="9" defaultRowHeight="14.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5" bestFit="1" customWidth="1"/>
    <col min="25" max="16384" width="9" style="1"/>
  </cols>
  <sheetData>
    <row r="1" spans="1:24" s="3" customFormat="1" ht="14.75" customHeight="1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>
      <c r="H41" s="1">
        <f>SUMIF(H2:H40,"&gt;20")</f>
        <v>1473.0000000000002</v>
      </c>
    </row>
  </sheetData>
  <conditionalFormatting sqref="A1:A40">
    <cfRule type="duplicateValues" dxfId="7" priority="9"/>
  </conditionalFormatting>
  <conditionalFormatting sqref="B1:B40">
    <cfRule type="duplicateValues" dxfId="6" priority="8"/>
  </conditionalFormatting>
  <conditionalFormatting sqref="G1:G40">
    <cfRule type="cellIs" dxfId="5" priority="5" operator="equal">
      <formula>0</formula>
    </cfRule>
    <cfRule type="cellIs" dxfId="4" priority="6" operator="equal">
      <formula>-1</formula>
    </cfRule>
  </conditionalFormatting>
  <conditionalFormatting sqref="H1:W40">
    <cfRule type="cellIs" dxfId="3" priority="1" operator="equal">
      <formula>0</formula>
    </cfRule>
    <cfRule type="cellIs" dxfId="2" priority="2" operator="equal">
      <formula>-1</formula>
    </cfRule>
    <cfRule type="cellIs" dxfId="1" priority="3" operator="equal">
      <formula>-1</formula>
    </cfRule>
    <cfRule type="cellIs" dxfId="0" priority="4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175</v>
      </c>
    </row>
    <row r="2" spans="1:5">
      <c r="A2" s="2"/>
      <c r="B2" s="5" t="s">
        <v>159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3" t="s">
        <v>177</v>
      </c>
      <c r="E5" s="1">
        <v>10</v>
      </c>
    </row>
    <row r="6" spans="1:5">
      <c r="A6" s="6">
        <v>4</v>
      </c>
      <c r="B6" s="2" t="s">
        <v>106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10" sqref="H10"/>
    </sheetView>
  </sheetViews>
  <sheetFormatPr defaultColWidth="11" defaultRowHeight="1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>
      <c r="A1" s="41" t="s">
        <v>55</v>
      </c>
      <c r="B1" s="40" t="s">
        <v>163</v>
      </c>
    </row>
    <row r="2" spans="1:7" s="40" customFormat="1" ht="21">
      <c r="B2" s="40" t="s">
        <v>160</v>
      </c>
    </row>
    <row r="3" spans="1:7" ht="14.5">
      <c r="A3" s="1"/>
      <c r="B3" s="1"/>
      <c r="C3" s="1"/>
      <c r="D3" s="1"/>
      <c r="E3" s="1"/>
      <c r="F3" s="1"/>
      <c r="G3" s="1"/>
    </row>
    <row r="4" spans="1:7" ht="23.5">
      <c r="A4" s="17" t="s">
        <v>161</v>
      </c>
      <c r="B4" s="1"/>
      <c r="C4" s="1"/>
      <c r="D4" s="1"/>
      <c r="E4" s="1"/>
      <c r="F4" s="1"/>
      <c r="G4" s="1"/>
    </row>
    <row r="5" spans="1:7" ht="14.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>
      <c r="A6" s="7" t="s">
        <v>40</v>
      </c>
      <c r="B6" s="1">
        <f>IFERROR(VLOOKUP(A6,Dataset!A2:G40,7,FALSE),"")</f>
        <v>2.7</v>
      </c>
      <c r="C6" s="11">
        <f>IFERROR(VLOOKUP(A6,Dataset!A2:N40,14,FALSE),"")</f>
        <v>7.6</v>
      </c>
      <c r="D6" s="11">
        <f>IFERROR(VLOOKUP(A6,Dataset!A2:T40,17,FALSE),"")</f>
        <v>3.6</v>
      </c>
      <c r="E6" s="11">
        <f>IFERROR(VLOOKUP(A6,Dataset!A2:T40,20,FALSE),"")</f>
        <v>8.9</v>
      </c>
      <c r="F6" s="8">
        <f>IFERROR(VLOOKUP(A6,Dataset!A2:W40,22,FALSE),"")</f>
        <v>4.2</v>
      </c>
    </row>
    <row r="7" spans="1:7" ht="14.5">
      <c r="A7" s="7" t="s">
        <v>4</v>
      </c>
      <c r="B7" s="1">
        <f>IFERROR(VLOOKUP(A7,Dataset!A3:G41,7,FALSE),"")</f>
        <v>2.7</v>
      </c>
      <c r="C7" s="11">
        <f>IFERROR(VLOOKUP(A7,Dataset!A3:N41,14,FALSE),"")</f>
        <v>7.6</v>
      </c>
      <c r="D7" s="11">
        <f>IFERROR(VLOOKUP(A7,Dataset!A3:T41,17,FALSE),"")</f>
        <v>3.6</v>
      </c>
      <c r="E7" s="11">
        <f>IFERROR(VLOOKUP(A7,Dataset!A3:T41,20,FALSE),"")</f>
        <v>8.9</v>
      </c>
      <c r="F7" s="8">
        <f>IFERROR(VLOOKUP(A7,Dataset!A3:W41,22,FALSE),"")</f>
        <v>4.2</v>
      </c>
    </row>
    <row r="8" spans="1:7" ht="14.5">
      <c r="A8" s="7" t="s">
        <v>7</v>
      </c>
      <c r="B8" s="1">
        <f>IFERROR(VLOOKUP(A8,Dataset!A4:G42,7,FALSE),"")</f>
        <v>3.6</v>
      </c>
      <c r="C8" s="11">
        <f>IFERROR(VLOOKUP(A8,Dataset!A4:N42,14,FALSE),"")</f>
        <v>11.1</v>
      </c>
      <c r="D8" s="11">
        <f>IFERROR(VLOOKUP(A8,Dataset!A4:T42,17,FALSE),"")</f>
        <v>5.4</v>
      </c>
      <c r="E8" s="11">
        <f>IFERROR(VLOOKUP(A8,Dataset!A4:T42,20,FALSE),"")</f>
        <v>12.2</v>
      </c>
      <c r="F8" s="8">
        <f>IFERROR(VLOOKUP(A8,Dataset!A4:W42,22,FALSE),"")</f>
        <v>5.8</v>
      </c>
    </row>
    <row r="9" spans="1:7" ht="14.5">
      <c r="A9" s="7" t="s">
        <v>8</v>
      </c>
      <c r="B9" s="1">
        <f>IFERROR(VLOOKUP(A9,Dataset!A5:G43,7,FALSE),"")</f>
        <v>4.9000000000000004</v>
      </c>
      <c r="C9" s="11">
        <f>IFERROR(VLOOKUP(A9,Dataset!A5:N43,14,FALSE),"")</f>
        <v>13.3</v>
      </c>
      <c r="D9" s="11">
        <f>IFERROR(VLOOKUP(A9,Dataset!A5:T43,17,FALSE),"")</f>
        <v>6.6</v>
      </c>
      <c r="E9" s="11">
        <f>IFERROR(VLOOKUP(A9,Dataset!A5:T43,20,FALSE),"")</f>
        <v>17</v>
      </c>
      <c r="F9" s="8">
        <f>IFERROR(VLOOKUP(A9,Dataset!A5:W43,22,FALSE),"")</f>
        <v>8.1</v>
      </c>
    </row>
    <row r="10" spans="1:7" ht="14.5">
      <c r="A10" s="7" t="s">
        <v>11</v>
      </c>
      <c r="B10" s="1">
        <f>IFERROR(VLOOKUP(A10,Dataset!A6:G44,7,FALSE),"")</f>
        <v>9.4</v>
      </c>
      <c r="C10" s="11">
        <f>IFERROR(VLOOKUP(A10,Dataset!A6:N44,14,FALSE),"")</f>
        <v>28.3</v>
      </c>
      <c r="D10" s="11">
        <f>IFERROR(VLOOKUP(A10,Dataset!A6:T44,17,FALSE),"")</f>
        <v>13.8</v>
      </c>
      <c r="E10" s="11">
        <f>IFERROR(VLOOKUP(A10,Dataset!A6:T44,20,FALSE),"")</f>
        <v>32.799999999999997</v>
      </c>
      <c r="F10" s="8">
        <f>IFERROR(VLOOKUP(A10,Dataset!A6:W44,22,FALSE),"")</f>
        <v>16.100000000000001</v>
      </c>
    </row>
    <row r="11" spans="1:7" ht="14.5">
      <c r="A11" s="7" t="s">
        <v>12</v>
      </c>
      <c r="B11" s="1">
        <f>IFERROR(VLOOKUP(A11,Dataset!A7:G45,7,FALSE),"")</f>
        <v>11.6</v>
      </c>
      <c r="C11" s="11">
        <f>IFERROR(VLOOKUP(A11,Dataset!A7:N45,14,FALSE),"")</f>
        <v>35.200000000000003</v>
      </c>
      <c r="D11" s="11">
        <f>IFERROR(VLOOKUP(A11,Dataset!A7:T45,17,FALSE),"")</f>
        <v>17.3</v>
      </c>
      <c r="E11" s="11">
        <f>IFERROR(VLOOKUP(A11,Dataset!A7:T45,20,FALSE),"")</f>
        <v>43</v>
      </c>
      <c r="F11" s="8">
        <f>IFERROR(VLOOKUP(A11,Dataset!A7:W45,22,FALSE),"")</f>
        <v>21.3</v>
      </c>
    </row>
    <row r="12" spans="1:7" ht="14.5">
      <c r="A12" s="7" t="s">
        <v>14</v>
      </c>
      <c r="B12" s="1">
        <f>IFERROR(VLOOKUP(A12,Dataset!A8:G46,7,FALSE),"")</f>
        <v>18.399999999999999</v>
      </c>
      <c r="C12" s="11">
        <f>IFERROR(VLOOKUP(A12,Dataset!A8:N46,14,FALSE),"")</f>
        <v>55.6</v>
      </c>
      <c r="D12" s="11">
        <f>IFERROR(VLOOKUP(A12,Dataset!A8:T46,17,FALSE),"")</f>
        <v>27.5</v>
      </c>
      <c r="E12" s="11">
        <f>IFERROR(VLOOKUP(A12,Dataset!A8:T46,20,FALSE),"")</f>
        <v>67.900000000000006</v>
      </c>
      <c r="F12" s="8">
        <f>IFERROR(VLOOKUP(A12,Dataset!A8:W46,22,FALSE),"")</f>
        <v>33.799999999999997</v>
      </c>
    </row>
    <row r="13" spans="1:7" ht="14.5">
      <c r="A13" s="7" t="s">
        <v>15</v>
      </c>
      <c r="B13" s="1">
        <f>IFERROR(VLOOKUP(A13,Dataset!A9:G47,7,FALSE),"")</f>
        <v>0</v>
      </c>
      <c r="C13" s="11">
        <f>IFERROR(VLOOKUP(A13,Dataset!A9:N47,14,FALSE),"")</f>
        <v>0</v>
      </c>
      <c r="D13" s="11">
        <f>IFERROR(VLOOKUP(A13,Dataset!A9:T47,17,FALSE),"")</f>
        <v>0</v>
      </c>
      <c r="E13" s="11">
        <f>IFERROR(VLOOKUP(A13,Dataset!A9:T47,20,FALSE),"")</f>
        <v>0</v>
      </c>
      <c r="F13" s="8">
        <f>IFERROR(VLOOKUP(A13,Dataset!A9:W47,22,FALSE),"")</f>
        <v>0</v>
      </c>
    </row>
    <row r="14" spans="1:7" ht="14.5">
      <c r="A14" s="7" t="s">
        <v>16</v>
      </c>
      <c r="B14" s="1">
        <f>IFERROR(VLOOKUP(A14,Dataset!A10:G48,7,FALSE),"")</f>
        <v>21.9</v>
      </c>
      <c r="C14" s="11">
        <f>IFERROR(VLOOKUP(A14,Dataset!A10:N48,14,FALSE),"")</f>
        <v>61.5</v>
      </c>
      <c r="D14" s="11">
        <f>IFERROR(VLOOKUP(A14,Dataset!A10:T48,17,FALSE),"")</f>
        <v>32.1</v>
      </c>
      <c r="E14" s="11">
        <f>IFERROR(VLOOKUP(A14,Dataset!A10:T48,20,FALSE),"")</f>
        <v>76.599999999999994</v>
      </c>
      <c r="F14" s="8">
        <f>IFERROR(VLOOKUP(A14,Dataset!A10:W48,22,FALSE),"")</f>
        <v>40.1</v>
      </c>
    </row>
    <row r="15" spans="1:7" ht="14.5">
      <c r="A15" s="7" t="s">
        <v>18</v>
      </c>
      <c r="B15" s="1">
        <f>IFERROR(VLOOKUP(A15,Dataset!A11:G49,7,FALSE),"")</f>
        <v>26.8</v>
      </c>
      <c r="C15" s="11">
        <f>IFERROR(VLOOKUP(A15,Dataset!A11:N49,14,FALSE),"")</f>
        <v>79.599999999999994</v>
      </c>
      <c r="D15" s="11">
        <f>IFERROR(VLOOKUP(A15,Dataset!A11:T49,17,FALSE),"")</f>
        <v>39.299999999999997</v>
      </c>
      <c r="E15" s="11">
        <f>IFERROR(VLOOKUP(A15,Dataset!A11:T49,20,FALSE),"")</f>
        <v>96.8</v>
      </c>
      <c r="F15" s="8">
        <f>IFERROR(VLOOKUP(A15,Dataset!A11:W49,22,FALSE),"")</f>
        <v>47.9</v>
      </c>
    </row>
    <row r="16" spans="1:7" ht="14.5">
      <c r="A16" s="7" t="s">
        <v>20</v>
      </c>
      <c r="B16" s="1">
        <f>IFERROR(VLOOKUP(A16,Dataset!A12:G50,7,FALSE),"")</f>
        <v>28.5</v>
      </c>
      <c r="C16" s="11">
        <f>IFERROR(VLOOKUP(A16,Dataset!A12:N50,14,FALSE),"")</f>
        <v>85.4</v>
      </c>
      <c r="D16" s="11">
        <f>IFERROR(VLOOKUP(A16,Dataset!A12:T50,17,FALSE),"")</f>
        <v>42.3</v>
      </c>
      <c r="E16" s="11">
        <f>IFERROR(VLOOKUP(A16,Dataset!A12:T50,20,FALSE),"")</f>
        <v>106.1</v>
      </c>
      <c r="F16" s="8">
        <f>IFERROR(VLOOKUP(A16,Dataset!A12:W50,22,FALSE),"")</f>
        <v>52.3</v>
      </c>
    </row>
    <row r="17" spans="1:6" ht="14.5">
      <c r="A17" s="7" t="s">
        <v>22</v>
      </c>
      <c r="B17" s="1">
        <f>IFERROR(VLOOKUP(A17,Dataset!A13:G51,7,FALSE),"")</f>
        <v>30.7</v>
      </c>
      <c r="C17" s="11">
        <f>IFERROR(VLOOKUP(A17,Dataset!A13:N51,14,FALSE),"")</f>
        <v>92.1</v>
      </c>
      <c r="D17" s="11">
        <f>IFERROR(VLOOKUP(A17,Dataset!A13:T51,17,FALSE),"")</f>
        <v>45.5</v>
      </c>
      <c r="E17" s="11">
        <f>IFERROR(VLOOKUP(A17,Dataset!A13:T51,20,FALSE),"")</f>
        <v>115.1</v>
      </c>
      <c r="F17" s="8">
        <f>IFERROR(VLOOKUP(A17,Dataset!A13:W51,22,FALSE),"")</f>
        <v>57</v>
      </c>
    </row>
    <row r="18" spans="1:6" ht="14.5">
      <c r="A18" s="7" t="s">
        <v>23</v>
      </c>
      <c r="B18" s="1">
        <f>IFERROR(VLOOKUP(A18,Dataset!A14:G52,7,FALSE),"")</f>
        <v>33.799999999999997</v>
      </c>
      <c r="C18" s="11">
        <f>IFERROR(VLOOKUP(A18,Dataset!A14:N52,14,FALSE),"")</f>
        <v>101.3</v>
      </c>
      <c r="D18" s="11">
        <f>IFERROR(VLOOKUP(A18,Dataset!A14:T52,17,FALSE),"")</f>
        <v>50.1</v>
      </c>
      <c r="E18" s="11">
        <f>IFERROR(VLOOKUP(A18,Dataset!A14:T52,20,FALSE),"")</f>
        <v>124.4</v>
      </c>
      <c r="F18" s="8">
        <f>IFERROR(VLOOKUP(A18,Dataset!A14:W52,22,FALSE),"")</f>
        <v>61.4</v>
      </c>
    </row>
    <row r="19" spans="1:6" ht="14.5">
      <c r="A19" s="7" t="s">
        <v>24</v>
      </c>
      <c r="B19" s="1">
        <f>IFERROR(VLOOKUP(A19,Dataset!A15:G53,7,FALSE),"")</f>
        <v>34.700000000000003</v>
      </c>
      <c r="C19" s="11">
        <f>IFERROR(VLOOKUP(A19,Dataset!A15:N53,14,FALSE),"")</f>
        <v>106.1</v>
      </c>
      <c r="D19" s="11">
        <f>IFERROR(VLOOKUP(A19,Dataset!A15:T53,17,FALSE),"")</f>
        <v>52.3</v>
      </c>
      <c r="E19" s="11">
        <f>IFERROR(VLOOKUP(A19,Dataset!A15:T53,20,FALSE),"")</f>
        <v>128.6</v>
      </c>
      <c r="F19" s="8">
        <f>IFERROR(VLOOKUP(A19,Dataset!A15:W53,22,FALSE),"")</f>
        <v>63.6</v>
      </c>
    </row>
    <row r="20" spans="1:6" ht="14.5">
      <c r="A20" s="7" t="s">
        <v>28</v>
      </c>
      <c r="B20" s="1">
        <f>IFERROR(VLOOKUP(A20,Dataset!A16:G54,7,FALSE),"")</f>
        <v>0</v>
      </c>
      <c r="C20" s="11">
        <f>IFERROR(VLOOKUP(A20,Dataset!A16:N54,14,FALSE),"")</f>
        <v>0</v>
      </c>
      <c r="D20" s="11">
        <f>IFERROR(VLOOKUP(A20,Dataset!A16:T54,17,FALSE),"")</f>
        <v>0</v>
      </c>
      <c r="E20" s="11">
        <f>IFERROR(VLOOKUP(A20,Dataset!A16:T54,20,FALSE),"")</f>
        <v>0</v>
      </c>
      <c r="F20" s="8">
        <f>IFERROR(VLOOKUP(A20,Dataset!A16:W54,22,FALSE),"")</f>
        <v>0</v>
      </c>
    </row>
    <row r="21" spans="1:6" ht="14.5">
      <c r="A21" s="7" t="s">
        <v>57</v>
      </c>
      <c r="B21" s="1">
        <f>IFERROR(VLOOKUP(A21,Dataset!A17:G55,7,FALSE),"")</f>
        <v>41.3</v>
      </c>
      <c r="C21" s="11">
        <f>IFERROR(VLOOKUP(A21,Dataset!A17:N55,14,FALSE),"")</f>
        <v>124.4</v>
      </c>
      <c r="D21" s="11">
        <f>IFERROR(VLOOKUP(A21,Dataset!A17:T55,17,FALSE),"")</f>
        <v>61.4</v>
      </c>
      <c r="E21" s="11">
        <f>IFERROR(VLOOKUP(A21,Dataset!A17:T55,20,FALSE),"")</f>
        <v>151.5</v>
      </c>
      <c r="F21" s="8">
        <f>IFERROR(VLOOKUP(A21,Dataset!A17:W55,22,FALSE),"")</f>
        <v>75</v>
      </c>
    </row>
    <row r="22" spans="1:6" ht="14.5">
      <c r="A22" s="7" t="s">
        <v>58</v>
      </c>
      <c r="B22" s="1">
        <f>IFERROR(VLOOKUP(A22,Dataset!A18:G56,7,FALSE),"")</f>
        <v>-1</v>
      </c>
      <c r="C22" s="11">
        <f>IFERROR(VLOOKUP(A22,Dataset!A18:N56,14,FALSE),"")</f>
        <v>-1</v>
      </c>
      <c r="D22" s="11">
        <f>IFERROR(VLOOKUP(A22,Dataset!A18:T56,17,FALSE),"")</f>
        <v>-1</v>
      </c>
      <c r="E22" s="11">
        <f>IFERROR(VLOOKUP(A22,Dataset!A18:T56,20,FALSE),"")</f>
        <v>-1</v>
      </c>
      <c r="F22" s="8">
        <f>IFERROR(VLOOKUP(A22,Dataset!A18:W56,22,FALSE),"")</f>
        <v>-1</v>
      </c>
    </row>
    <row r="23" spans="1:6" ht="14.5">
      <c r="A23" s="7" t="s">
        <v>31</v>
      </c>
      <c r="B23" s="1">
        <f>IFERROR(VLOOKUP(A23,Dataset!A19:G57,7,FALSE),"")</f>
        <v>45</v>
      </c>
      <c r="C23" s="11">
        <f>IFERROR(VLOOKUP(A23,Dataset!A19:N57,14,FALSE),"")</f>
        <v>133.4</v>
      </c>
      <c r="D23" s="11">
        <f>IFERROR(VLOOKUP(A23,Dataset!A19:T57,17,FALSE),"")</f>
        <v>65.900000000000006</v>
      </c>
      <c r="E23" s="11">
        <f>IFERROR(VLOOKUP(A23,Dataset!A19:T57,20,FALSE),"")</f>
        <v>160.9</v>
      </c>
      <c r="F23" s="8">
        <f>IFERROR(VLOOKUP(A23,Dataset!A19:W57,22,FALSE),"")</f>
        <v>79.400000000000006</v>
      </c>
    </row>
    <row r="24" spans="1:6" ht="14.5">
      <c r="A24" s="7" t="s">
        <v>32</v>
      </c>
      <c r="B24" s="1">
        <f>IFERROR(VLOOKUP(A24,Dataset!A20:G58,7,FALSE),"")</f>
        <v>-1</v>
      </c>
      <c r="C24" s="11">
        <f>IFERROR(VLOOKUP(A24,Dataset!A20:N58,14,FALSE),"")</f>
        <v>-1</v>
      </c>
      <c r="D24" s="11">
        <f>IFERROR(VLOOKUP(A24,Dataset!A20:T58,17,FALSE),"")</f>
        <v>-1</v>
      </c>
      <c r="E24" s="11">
        <f>IFERROR(VLOOKUP(A24,Dataset!A20:T58,20,FALSE),"")</f>
        <v>-1</v>
      </c>
      <c r="F24" s="8">
        <f>IFERROR(VLOOKUP(A24,Dataset!A20:W58,22,FALSE),"")</f>
        <v>-1</v>
      </c>
    </row>
    <row r="25" spans="1:6" ht="14.5">
      <c r="A25" s="7" t="s">
        <v>34</v>
      </c>
      <c r="B25" s="1">
        <f>IFERROR(VLOOKUP(A25,Dataset!A21:G59,7,FALSE),"")</f>
        <v>43.3</v>
      </c>
      <c r="C25" s="11">
        <f>IFERROR(VLOOKUP(A25,Dataset!A21:N59,14,FALSE),"")</f>
        <v>128.6</v>
      </c>
      <c r="D25" s="11">
        <f>IFERROR(VLOOKUP(A25,Dataset!A21:T59,17,FALSE),"")</f>
        <v>63.6</v>
      </c>
      <c r="E25" s="11">
        <f>IFERROR(VLOOKUP(A25,Dataset!A21:T59,20,FALSE),"")</f>
        <v>160.9</v>
      </c>
      <c r="F25" s="8">
        <f>IFERROR(VLOOKUP(A25,Dataset!A21:W59,22,FALSE),"")</f>
        <v>79.400000000000006</v>
      </c>
    </row>
    <row r="26" spans="1:6" ht="14.5">
      <c r="A26" s="7" t="s">
        <v>37</v>
      </c>
      <c r="B26" s="1">
        <f>IFERROR(VLOOKUP(A26,Dataset!A22:G60,7,FALSE),"")</f>
        <v>49.1</v>
      </c>
      <c r="C26" s="11">
        <f>IFERROR(VLOOKUP(A26,Dataset!A22:N60,14,FALSE),"")</f>
        <v>146.80000000000001</v>
      </c>
      <c r="D26" s="11">
        <f>IFERROR(VLOOKUP(A26,Dataset!A22:T60,17,FALSE),"")</f>
        <v>72.8</v>
      </c>
      <c r="E26" s="11">
        <f>IFERROR(VLOOKUP(A26,Dataset!A22:T60,20,FALSE),"")</f>
        <v>183.5</v>
      </c>
      <c r="F26" s="8">
        <f>IFERROR(VLOOKUP(A26,Dataset!A22:W60,22,FALSE),"")</f>
        <v>90.9</v>
      </c>
    </row>
    <row r="27" spans="1:6" ht="14.5">
      <c r="A27" s="7" t="s">
        <v>39</v>
      </c>
      <c r="B27" s="1">
        <f>IFERROR(VLOOKUP(A27,Dataset!A23:G61,7,FALSE),"")</f>
        <v>51.8</v>
      </c>
      <c r="C27" s="11">
        <f>IFERROR(VLOOKUP(A27,Dataset!A23:N61,14,FALSE),"")</f>
        <v>156.4</v>
      </c>
      <c r="D27" s="11">
        <f>IFERROR(VLOOKUP(A27,Dataset!A23:T61,17,FALSE),"")</f>
        <v>77.2</v>
      </c>
      <c r="E27" s="11">
        <f>IFERROR(VLOOKUP(A27,Dataset!A23:T61,20,FALSE),"")</f>
        <v>188.1</v>
      </c>
      <c r="F27" s="8">
        <f>IFERROR(VLOOKUP(A27,Dataset!A23:W61,22,FALSE),"")</f>
        <v>93.1</v>
      </c>
    </row>
    <row r="28" spans="1:6" ht="14.5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5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77.2</v>
      </c>
      <c r="E29" s="30">
        <f>MAX(E6:E27)</f>
        <v>188.1</v>
      </c>
      <c r="F29" s="30">
        <f>MAX(F6:F27)</f>
        <v>93.1</v>
      </c>
    </row>
    <row r="30" spans="1:6" ht="14.5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30.831818181818186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V57"/>
  <sheetViews>
    <sheetView topLeftCell="A8" zoomScaleNormal="100" workbookViewId="0">
      <selection activeCell="G9" sqref="G9:V9"/>
    </sheetView>
  </sheetViews>
  <sheetFormatPr defaultColWidth="11" defaultRowHeight="14.5"/>
  <cols>
    <col min="1" max="1" width="39.796875" style="1" bestFit="1" customWidth="1"/>
    <col min="2" max="16384" width="11" style="1"/>
  </cols>
  <sheetData>
    <row r="1" spans="1:22" s="40" customFormat="1" ht="21">
      <c r="A1" s="41" t="s">
        <v>56</v>
      </c>
      <c r="B1" s="40" t="s">
        <v>173</v>
      </c>
    </row>
    <row r="2" spans="1:22" customFormat="1" ht="13"/>
    <row r="3" spans="1:22" s="2" customFormat="1">
      <c r="B3" s="1"/>
    </row>
    <row r="4" spans="1:22" s="2" customFormat="1" ht="15" thickBot="1">
      <c r="B4" s="1" t="s">
        <v>150</v>
      </c>
    </row>
    <row r="5" spans="1:22" ht="19" thickBot="1">
      <c r="A5" s="42" t="s">
        <v>53</v>
      </c>
      <c r="B5" s="51" t="s">
        <v>182</v>
      </c>
      <c r="C5" s="53"/>
      <c r="D5" s="62" t="s">
        <v>178</v>
      </c>
      <c r="E5" s="63"/>
      <c r="F5" s="63"/>
      <c r="G5" s="64"/>
      <c r="H5" s="64"/>
      <c r="I5" s="65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</row>
    <row r="6" spans="1:22" ht="19" thickBot="1">
      <c r="A6" s="42" t="s">
        <v>152</v>
      </c>
      <c r="B6" s="51" t="s">
        <v>183</v>
      </c>
      <c r="C6" s="52"/>
      <c r="D6" s="66"/>
      <c r="E6" s="66"/>
      <c r="F6" s="67"/>
      <c r="G6" s="54" t="s">
        <v>179</v>
      </c>
      <c r="H6" s="55"/>
      <c r="I6" s="55"/>
      <c r="J6" s="55"/>
      <c r="K6" s="55"/>
      <c r="L6" s="56"/>
    </row>
    <row r="7" spans="1:22" ht="19" thickBot="1">
      <c r="A7" s="42"/>
      <c r="B7" s="51" t="s">
        <v>184</v>
      </c>
      <c r="C7" s="52"/>
      <c r="D7" s="52"/>
      <c r="E7" s="52"/>
      <c r="F7" s="52"/>
      <c r="G7" s="52"/>
      <c r="H7" s="52"/>
      <c r="I7" s="52"/>
      <c r="J7" s="53"/>
      <c r="K7" s="54" t="s">
        <v>180</v>
      </c>
      <c r="L7" s="55"/>
      <c r="M7" s="55"/>
      <c r="N7" s="59"/>
      <c r="O7" s="60"/>
    </row>
    <row r="8" spans="1:22" ht="15" thickBot="1">
      <c r="B8" s="51" t="s">
        <v>185</v>
      </c>
      <c r="C8" s="52"/>
      <c r="D8" s="52"/>
      <c r="E8" s="52"/>
      <c r="F8" s="52"/>
      <c r="G8" s="57"/>
      <c r="H8" s="57"/>
      <c r="I8" s="57"/>
      <c r="J8" s="57"/>
      <c r="K8" s="57"/>
      <c r="L8" s="57"/>
      <c r="M8" s="58"/>
      <c r="N8" s="61" t="s">
        <v>186</v>
      </c>
      <c r="O8" s="59"/>
      <c r="P8" s="59"/>
      <c r="Q8" s="59"/>
      <c r="R8" s="60"/>
    </row>
    <row r="9" spans="1:22" ht="15" thickBot="1">
      <c r="B9" s="51" t="s">
        <v>181</v>
      </c>
      <c r="C9" s="52"/>
      <c r="D9" s="52"/>
      <c r="E9" s="52"/>
      <c r="F9" s="53"/>
      <c r="G9" s="54" t="s">
        <v>187</v>
      </c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6"/>
    </row>
    <row r="10" spans="1:22"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6"/>
      <c r="O10" s="46"/>
      <c r="P10" s="46"/>
      <c r="Q10" s="46"/>
    </row>
    <row r="11" spans="1:22"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6"/>
      <c r="O11" s="46"/>
      <c r="P11" s="46"/>
      <c r="Q11" s="46"/>
    </row>
    <row r="12" spans="1:22" ht="23.5">
      <c r="A12" s="17" t="s">
        <v>164</v>
      </c>
      <c r="I12" s="2"/>
      <c r="J12" s="2"/>
    </row>
    <row r="13" spans="1:22">
      <c r="A13" s="32" t="s">
        <v>102</v>
      </c>
      <c r="B13" s="16" t="s">
        <v>49</v>
      </c>
      <c r="C13" s="16" t="s">
        <v>50</v>
      </c>
      <c r="D13" s="16" t="s">
        <v>51</v>
      </c>
      <c r="E13" s="16" t="s">
        <v>52</v>
      </c>
      <c r="F13" s="16" t="s">
        <v>54</v>
      </c>
      <c r="I13" s="2"/>
      <c r="J13" s="2"/>
    </row>
    <row r="14" spans="1:22">
      <c r="A14" s="9" t="s">
        <v>120</v>
      </c>
      <c r="B14" s="12">
        <v>20000</v>
      </c>
      <c r="C14" s="12" t="s">
        <v>5</v>
      </c>
      <c r="D14" s="12">
        <v>0</v>
      </c>
      <c r="E14" s="10" t="s">
        <v>6</v>
      </c>
      <c r="F14" s="10">
        <v>24</v>
      </c>
      <c r="I14" s="2"/>
      <c r="J14" s="2"/>
    </row>
    <row r="17" spans="1:6" ht="23.5">
      <c r="A17" s="17" t="s">
        <v>161</v>
      </c>
    </row>
    <row r="18" spans="1:6">
      <c r="A18" s="13" t="s">
        <v>103</v>
      </c>
      <c r="B18" s="16" t="s">
        <v>49</v>
      </c>
      <c r="C18" s="14" t="s">
        <v>50</v>
      </c>
      <c r="D18" s="16" t="s">
        <v>51</v>
      </c>
      <c r="E18" s="14" t="s">
        <v>52</v>
      </c>
      <c r="F18" s="16" t="s">
        <v>54</v>
      </c>
    </row>
    <row r="19" spans="1:6">
      <c r="A19" s="7" t="s">
        <v>120</v>
      </c>
      <c r="B19" s="11" t="str">
        <f>LEFT(A19, FIND("-", A19) - 1)</f>
        <v>20000</v>
      </c>
      <c r="C19" s="1" t="str">
        <f>MID(A19, FIND("-", A19) + 1, FIND("-", A19, FIND("-", A19) + 1) - FIND("-", A19) - 1)</f>
        <v>Monday</v>
      </c>
      <c r="D19" s="11" t="str">
        <f>MID(A19, FIND("-", A19, FIND("-", A19) + 1) + 1, FIND("-", A19, FIND("-", A19, FIND("-", A19) + 1) + 1) - FIND("-", A19, FIND("-", A19) + 1) - 1)</f>
        <v>0</v>
      </c>
      <c r="E19" s="1" t="str">
        <f>MID(A19, FIND("-", A19, FIND("-", A19, FIND("-", A19) + 1) + 1) + 1, FIND("-", A19, FIND("-", A19, FIND("-", A19, FIND("-", A19) + 1) + 1) + 1) - FIND("-", A19, FIND("-", A19, FIND("-", A19) + 1) + 1) - 1)</f>
        <v>Sunday</v>
      </c>
      <c r="F19" s="11" t="str">
        <f>RIGHT(A19, LEN(A19) - FIND("~", SUBSTITUTE(A19, "-", "~", 4)))</f>
        <v>24</v>
      </c>
    </row>
    <row r="20" spans="1:6">
      <c r="A20" s="7" t="s">
        <v>121</v>
      </c>
      <c r="B20" s="11" t="str">
        <f t="shared" ref="B20:B57" si="0">LEFT(A20, FIND("-", A20) - 1)</f>
        <v>20002</v>
      </c>
      <c r="C20" s="1" t="str">
        <f t="shared" ref="C20:C57" si="1">MID(A20, FIND("-", A20) + 1, FIND("-", A20, FIND("-", A20) + 1) - FIND("-", A20) - 1)</f>
        <v>Monday</v>
      </c>
      <c r="D20" s="11" t="str">
        <f t="shared" ref="D20:D57" si="2">MID(A20, FIND("-", A20, FIND("-", A20) + 1) + 1, FIND("-", A20, FIND("-", A20, FIND("-", A20) + 1) + 1) - FIND("-", A20, FIND("-", A20) + 1) - 1)</f>
        <v>0</v>
      </c>
      <c r="E20" s="1" t="str">
        <f t="shared" ref="E20:E57" si="3">MID(A20, FIND("-", A20, FIND("-", A20, FIND("-", A20) + 1) + 1) + 1, FIND("-", A20, FIND("-", A20, FIND("-", A20, FIND("-", A20) + 1) + 1) + 1) - FIND("-", A20, FIND("-", A20, FIND("-", A20) + 1) + 1) - 1)</f>
        <v>Sunday</v>
      </c>
      <c r="F20" s="11" t="str">
        <f t="shared" ref="F20:F57" si="4">RIGHT(A20, LEN(A20) - FIND("~", SUBSTITUTE(A20, "-", "~", 4)))</f>
        <v>24</v>
      </c>
    </row>
    <row r="21" spans="1:6">
      <c r="A21" s="7" t="s">
        <v>122</v>
      </c>
      <c r="B21" s="11" t="str">
        <f t="shared" si="0"/>
        <v>20004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>
      <c r="A22" s="7" t="s">
        <v>123</v>
      </c>
      <c r="B22" s="11" t="str">
        <f t="shared" si="0"/>
        <v>20006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>
      <c r="A23" s="7" t="s">
        <v>124</v>
      </c>
      <c r="B23" s="11" t="str">
        <f t="shared" si="0"/>
        <v>20008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>
      <c r="A24" s="7" t="s">
        <v>125</v>
      </c>
      <c r="B24" s="11" t="str">
        <f t="shared" si="0"/>
        <v>20010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>
      <c r="A25" s="7" t="s">
        <v>126</v>
      </c>
      <c r="B25" s="11" t="str">
        <f t="shared" si="0"/>
        <v>20012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>
      <c r="A26" s="7" t="s">
        <v>127</v>
      </c>
      <c r="B26" s="11" t="str">
        <f t="shared" si="0"/>
        <v>20014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>
      <c r="A27" s="7" t="s">
        <v>128</v>
      </c>
      <c r="B27" s="11" t="str">
        <f t="shared" si="0"/>
        <v>20016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>
      <c r="A28" s="7" t="s">
        <v>129</v>
      </c>
      <c r="B28" s="11" t="str">
        <f t="shared" si="0"/>
        <v>20018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>
      <c r="A29" s="7" t="s">
        <v>130</v>
      </c>
      <c r="B29" s="11" t="str">
        <f t="shared" si="0"/>
        <v>20020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>
      <c r="A30" s="7" t="s">
        <v>131</v>
      </c>
      <c r="B30" s="11" t="str">
        <f t="shared" si="0"/>
        <v>20022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>
      <c r="A31" s="7" t="s">
        <v>132</v>
      </c>
      <c r="B31" s="11" t="str">
        <f t="shared" si="0"/>
        <v>20024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>
      <c r="A32" s="7" t="s">
        <v>133</v>
      </c>
      <c r="B32" s="11" t="str">
        <f t="shared" si="0"/>
        <v>20026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>
      <c r="A33" s="7" t="s">
        <v>134</v>
      </c>
      <c r="B33" s="11" t="str">
        <f t="shared" si="0"/>
        <v>20028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>
      <c r="A34" s="7" t="s">
        <v>135</v>
      </c>
      <c r="B34" s="11" t="str">
        <f t="shared" si="0"/>
        <v>20030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>
      <c r="A35" s="7" t="s">
        <v>136</v>
      </c>
      <c r="B35" s="11" t="str">
        <f t="shared" si="0"/>
        <v>20032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>
      <c r="A36" s="7" t="s">
        <v>137</v>
      </c>
      <c r="B36" s="11" t="str">
        <f t="shared" si="0"/>
        <v>20034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>
      <c r="A37" s="7" t="s">
        <v>138</v>
      </c>
      <c r="B37" s="11" t="str">
        <f t="shared" si="0"/>
        <v>20036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>
      <c r="A38" s="7" t="s">
        <v>139</v>
      </c>
      <c r="B38" s="11" t="str">
        <f t="shared" si="0"/>
        <v>20038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>
      <c r="A39" s="7" t="s">
        <v>140</v>
      </c>
      <c r="B39" s="11" t="str">
        <f t="shared" si="0"/>
        <v>20040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>
      <c r="A40" s="7" t="s">
        <v>141</v>
      </c>
      <c r="B40" s="11" t="str">
        <f t="shared" si="0"/>
        <v>20042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>
      <c r="A41" s="7" t="s">
        <v>142</v>
      </c>
      <c r="B41" s="11" t="str">
        <f t="shared" si="0"/>
        <v>20044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>
      <c r="A42" s="7" t="s">
        <v>143</v>
      </c>
      <c r="B42" s="11" t="str">
        <f t="shared" si="0"/>
        <v>20046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>
      <c r="A43" s="7" t="s">
        <v>144</v>
      </c>
      <c r="B43" s="11" t="str">
        <f t="shared" si="0"/>
        <v>20048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>
      <c r="A44" s="7" t="s">
        <v>145</v>
      </c>
      <c r="B44" s="11" t="str">
        <f t="shared" si="0"/>
        <v>20050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>
      <c r="A45" s="7" t="s">
        <v>146</v>
      </c>
      <c r="B45" s="11" t="str">
        <f t="shared" si="0"/>
        <v>20052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>
      <c r="A46" s="7" t="s">
        <v>147</v>
      </c>
      <c r="B46" s="11" t="str">
        <f t="shared" si="0"/>
        <v>20054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>
      <c r="A47" s="7" t="s">
        <v>148</v>
      </c>
      <c r="B47" s="11" t="str">
        <f t="shared" si="0"/>
        <v>20058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>
      <c r="A48" s="7" t="s">
        <v>149</v>
      </c>
      <c r="B48" s="11" t="str">
        <f t="shared" si="0"/>
        <v>20060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>
      <c r="A49" s="7" t="s">
        <v>111</v>
      </c>
      <c r="B49" s="11" t="str">
        <f t="shared" si="0"/>
        <v>21000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>
      <c r="A50" s="7" t="s">
        <v>112</v>
      </c>
      <c r="B50" s="11" t="str">
        <f t="shared" si="0"/>
        <v>21002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>
      <c r="A51" s="7" t="s">
        <v>113</v>
      </c>
      <c r="B51" s="11" t="str">
        <f t="shared" si="0"/>
        <v>21004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>
      <c r="A52" s="7" t="s">
        <v>114</v>
      </c>
      <c r="B52" s="11" t="str">
        <f t="shared" si="0"/>
        <v>21006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>
      <c r="A53" s="7" t="s">
        <v>115</v>
      </c>
      <c r="B53" s="11" t="str">
        <f t="shared" si="0"/>
        <v>21008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>
      <c r="A54" s="7" t="s">
        <v>116</v>
      </c>
      <c r="B54" s="11" t="str">
        <f t="shared" si="0"/>
        <v>21010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  <row r="55" spans="1:6">
      <c r="A55" s="7" t="s">
        <v>117</v>
      </c>
      <c r="B55" s="11" t="str">
        <f t="shared" si="0"/>
        <v>21012</v>
      </c>
      <c r="C55" s="1" t="str">
        <f t="shared" si="1"/>
        <v>Monday</v>
      </c>
      <c r="D55" s="11" t="str">
        <f t="shared" si="2"/>
        <v>0</v>
      </c>
      <c r="E55" s="1" t="str">
        <f t="shared" si="3"/>
        <v>Sunday</v>
      </c>
      <c r="F55" s="11" t="str">
        <f t="shared" si="4"/>
        <v>24</v>
      </c>
    </row>
    <row r="56" spans="1:6">
      <c r="A56" s="7" t="s">
        <v>118</v>
      </c>
      <c r="B56" s="11" t="str">
        <f t="shared" si="0"/>
        <v>21014</v>
      </c>
      <c r="C56" s="1" t="str">
        <f t="shared" si="1"/>
        <v>Monday</v>
      </c>
      <c r="D56" s="11" t="str">
        <f t="shared" si="2"/>
        <v>0</v>
      </c>
      <c r="E56" s="1" t="str">
        <f t="shared" si="3"/>
        <v>Sunday</v>
      </c>
      <c r="F56" s="11" t="str">
        <f t="shared" si="4"/>
        <v>24</v>
      </c>
    </row>
    <row r="57" spans="1:6">
      <c r="A57" s="9" t="s">
        <v>119</v>
      </c>
      <c r="B57" s="11" t="str">
        <f t="shared" si="0"/>
        <v>21016</v>
      </c>
      <c r="C57" s="1" t="str">
        <f t="shared" si="1"/>
        <v>Monday</v>
      </c>
      <c r="D57" s="11" t="str">
        <f t="shared" si="2"/>
        <v>0</v>
      </c>
      <c r="E57" s="1" t="str">
        <f t="shared" si="3"/>
        <v>Sunday</v>
      </c>
      <c r="F57" s="11" t="str">
        <f t="shared" si="4"/>
        <v>24</v>
      </c>
    </row>
  </sheetData>
  <mergeCells count="10">
    <mergeCell ref="G6:L6"/>
    <mergeCell ref="D5:I5"/>
    <mergeCell ref="B5:C5"/>
    <mergeCell ref="B7:J7"/>
    <mergeCell ref="B6:F6"/>
    <mergeCell ref="B9:F9"/>
    <mergeCell ref="G9:V9"/>
    <mergeCell ref="B8:M8"/>
    <mergeCell ref="K7:O7"/>
    <mergeCell ref="N8:R8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G22"/>
  <sheetViews>
    <sheetView topLeftCell="A11" zoomScale="106" zoomScaleNormal="100" workbookViewId="0">
      <selection activeCell="F13" sqref="F13"/>
    </sheetView>
  </sheetViews>
  <sheetFormatPr defaultColWidth="11" defaultRowHeight="1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7" ht="21">
      <c r="A1" s="41" t="s">
        <v>85</v>
      </c>
      <c r="B1" s="40" t="s">
        <v>166</v>
      </c>
    </row>
    <row r="2" spans="1:7" ht="18.5">
      <c r="B2" s="39" t="s">
        <v>165</v>
      </c>
    </row>
    <row r="5" spans="1:7" ht="15" thickBot="1">
      <c r="B5" s="1" t="s">
        <v>150</v>
      </c>
    </row>
    <row r="6" spans="1:7" ht="15" thickBot="1">
      <c r="A6" s="3" t="s">
        <v>53</v>
      </c>
      <c r="B6" s="68" t="s">
        <v>188</v>
      </c>
      <c r="C6" s="69"/>
      <c r="D6" s="69"/>
      <c r="E6" s="69"/>
      <c r="F6" s="70"/>
    </row>
    <row r="7" spans="1:7" ht="14.5">
      <c r="A7" s="3" t="s">
        <v>152</v>
      </c>
      <c r="B7" s="71" t="s">
        <v>189</v>
      </c>
      <c r="C7" s="72"/>
      <c r="D7" s="72"/>
      <c r="E7" s="72"/>
      <c r="F7" s="72"/>
      <c r="G7" s="48"/>
    </row>
    <row r="8" spans="1:7">
      <c r="B8" s="73" t="s">
        <v>190</v>
      </c>
      <c r="C8" s="74"/>
      <c r="D8" s="74"/>
      <c r="E8" s="74"/>
      <c r="F8" s="74"/>
      <c r="G8" s="49"/>
    </row>
    <row r="9" spans="1:7" ht="13.5" thickBot="1">
      <c r="B9" s="75" t="s">
        <v>191</v>
      </c>
      <c r="C9" s="76"/>
      <c r="D9" s="76"/>
      <c r="E9" s="76"/>
      <c r="F9" s="76"/>
      <c r="G9" s="77"/>
    </row>
    <row r="10" spans="1:7" ht="23.5">
      <c r="A10" s="17" t="s">
        <v>161</v>
      </c>
    </row>
    <row r="11" spans="1:7" ht="14.5">
      <c r="A11" s="31" t="s">
        <v>86</v>
      </c>
      <c r="B11" s="16" t="s">
        <v>87</v>
      </c>
      <c r="C11" s="16" t="s">
        <v>88</v>
      </c>
    </row>
    <row r="12" spans="1:7" ht="14.5">
      <c r="A12" s="31">
        <v>44927</v>
      </c>
      <c r="B12" s="16" t="s">
        <v>59</v>
      </c>
      <c r="C12" s="16">
        <v>200</v>
      </c>
    </row>
    <row r="13" spans="1:7" ht="14.5">
      <c r="A13" s="31">
        <v>44928</v>
      </c>
      <c r="B13" s="16" t="s">
        <v>60</v>
      </c>
      <c r="C13" s="16" t="e">
        <v>#N/A</v>
      </c>
    </row>
    <row r="14" spans="1:7" ht="14.5">
      <c r="A14" s="31">
        <v>44929</v>
      </c>
      <c r="B14" s="16" t="s">
        <v>61</v>
      </c>
      <c r="C14" s="16">
        <v>50</v>
      </c>
    </row>
    <row r="15" spans="1:7" ht="14.5">
      <c r="A15" s="31">
        <v>44930</v>
      </c>
      <c r="B15" s="16" t="s">
        <v>62</v>
      </c>
      <c r="C15" s="16" t="e">
        <v>#N/A</v>
      </c>
    </row>
    <row r="16" spans="1:7" ht="14.5">
      <c r="A16" s="31">
        <v>44931</v>
      </c>
      <c r="B16" s="16" t="s">
        <v>63</v>
      </c>
      <c r="C16" s="16">
        <v>10</v>
      </c>
    </row>
    <row r="17" spans="1:3" ht="14.5">
      <c r="A17" s="31">
        <v>44932</v>
      </c>
      <c r="B17" s="16" t="s">
        <v>153</v>
      </c>
      <c r="C17" s="16">
        <v>150</v>
      </c>
    </row>
    <row r="18" spans="1:3" ht="14.5">
      <c r="A18" s="31">
        <v>44933</v>
      </c>
      <c r="B18" s="16" t="s">
        <v>154</v>
      </c>
      <c r="C18" s="16">
        <v>80</v>
      </c>
    </row>
    <row r="19" spans="1:3" ht="14.5">
      <c r="A19" s="31">
        <v>44934</v>
      </c>
      <c r="B19" s="16" t="s">
        <v>155</v>
      </c>
      <c r="C19" s="16" t="e">
        <v>#N/A</v>
      </c>
    </row>
    <row r="20" spans="1:3" ht="14.5">
      <c r="A20" s="31">
        <v>44935</v>
      </c>
      <c r="B20" s="16" t="s">
        <v>156</v>
      </c>
      <c r="C20" s="16">
        <v>30</v>
      </c>
    </row>
    <row r="21" spans="1:3" ht="14.5">
      <c r="A21" s="31">
        <v>44936</v>
      </c>
      <c r="B21" s="16" t="s">
        <v>157</v>
      </c>
      <c r="C21" s="16" t="e">
        <v>#N/A</v>
      </c>
    </row>
    <row r="22" spans="1:3" ht="14.5">
      <c r="B22" s="16" t="s">
        <v>158</v>
      </c>
      <c r="C22" s="50">
        <f>SUMIF(C12:C21, "&lt;&gt;#N/A") + COUNTIF(C12:C21, "#N/A") * 20</f>
        <v>600</v>
      </c>
    </row>
  </sheetData>
  <mergeCells count="4">
    <mergeCell ref="B6:F6"/>
    <mergeCell ref="B7:F7"/>
    <mergeCell ref="B8:F8"/>
    <mergeCell ref="B9:G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U35"/>
  <sheetViews>
    <sheetView tabSelected="1" topLeftCell="A2" zoomScale="84" zoomScaleNormal="100" workbookViewId="0">
      <selection activeCell="J9" sqref="J9"/>
    </sheetView>
  </sheetViews>
  <sheetFormatPr defaultColWidth="11" defaultRowHeight="13"/>
  <cols>
    <col min="1" max="1" width="28.19921875" style="2" bestFit="1" customWidth="1"/>
    <col min="2" max="16384" width="11" style="2"/>
  </cols>
  <sheetData>
    <row r="1" spans="1:21" ht="21">
      <c r="A1" s="41" t="s">
        <v>98</v>
      </c>
      <c r="B1" s="40" t="s">
        <v>174</v>
      </c>
    </row>
    <row r="3" spans="1:21" ht="15" thickBot="1">
      <c r="B3" s="1" t="s">
        <v>150</v>
      </c>
    </row>
    <row r="4" spans="1:21" ht="19" thickBot="1">
      <c r="A4" s="42" t="s">
        <v>53</v>
      </c>
      <c r="B4" s="1"/>
      <c r="C4" s="81" t="s">
        <v>192</v>
      </c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3"/>
    </row>
    <row r="5" spans="1:21" ht="19" thickBot="1">
      <c r="A5" s="42" t="s">
        <v>152</v>
      </c>
      <c r="B5" s="1"/>
      <c r="C5" s="78" t="s">
        <v>193</v>
      </c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80"/>
    </row>
    <row r="6" spans="1:21" ht="14.5">
      <c r="A6" s="3"/>
      <c r="B6" s="1"/>
    </row>
    <row r="8" spans="1:21" ht="23.5">
      <c r="A8" s="17" t="s">
        <v>161</v>
      </c>
      <c r="M8" s="17" t="s">
        <v>162</v>
      </c>
    </row>
    <row r="9" spans="1:21" ht="14.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21" ht="14.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21" ht="14.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21" ht="14.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21" ht="14.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21" ht="14.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21" ht="14.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21" ht="14.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>
      <c r="A21" s="17" t="s">
        <v>167</v>
      </c>
    </row>
    <row r="22" spans="1:14" ht="14.5">
      <c r="A22" s="13" t="s">
        <v>100</v>
      </c>
      <c r="B22" s="16" t="s">
        <v>101</v>
      </c>
      <c r="C22" s="15" t="s">
        <v>102</v>
      </c>
    </row>
    <row r="23" spans="1:14" ht="14.5">
      <c r="A23" s="7">
        <v>10100</v>
      </c>
      <c r="B23" s="11">
        <v>10102</v>
      </c>
      <c r="C23" s="43">
        <f>IFERROR(INDEX($A$10:$J$18, MATCH(VLOOKUP(A23, $M$10:$N$18, 2, FALSE), $A$10:$A$18, 0), MATCH(VLOOKUP(B23, $M$10:$N$18, 2, FALSE), $A$9:$J$9, 0)), "N/A")</f>
        <v>95</v>
      </c>
    </row>
    <row r="24" spans="1:14" ht="14.5">
      <c r="A24" s="7">
        <v>10100</v>
      </c>
      <c r="B24" s="11">
        <v>10104</v>
      </c>
      <c r="C24" s="43">
        <f t="shared" ref="C24:C35" si="0">IFERROR(INDEX($A$10:$J$18, MATCH(VLOOKUP(A24, $M$10:$N$18, 2, FALSE), $A$10:$A$18, 0), MATCH(VLOOKUP(B24, $M$10:$N$18, 2, FALSE), $A$9:$J$9, 0)), "N/A")</f>
        <v>-1</v>
      </c>
    </row>
    <row r="25" spans="1:14" ht="14.5">
      <c r="A25" s="7">
        <v>10108</v>
      </c>
      <c r="B25" s="11">
        <v>10102</v>
      </c>
      <c r="C25" s="43">
        <f t="shared" si="0"/>
        <v>160</v>
      </c>
    </row>
    <row r="26" spans="1:14" ht="14.5">
      <c r="A26" s="7">
        <v>10100</v>
      </c>
      <c r="B26" s="11">
        <v>10106</v>
      </c>
      <c r="C26" s="43">
        <f t="shared" si="0"/>
        <v>185</v>
      </c>
    </row>
    <row r="27" spans="1:14" ht="14.5">
      <c r="A27" s="7">
        <v>10108</v>
      </c>
      <c r="B27" s="11">
        <v>10110</v>
      </c>
      <c r="C27" s="43">
        <f t="shared" si="0"/>
        <v>50</v>
      </c>
    </row>
    <row r="28" spans="1:14" ht="14.5">
      <c r="A28" s="7">
        <v>10102</v>
      </c>
      <c r="B28" s="11">
        <v>10104</v>
      </c>
      <c r="C28" s="43">
        <f t="shared" si="0"/>
        <v>-1</v>
      </c>
    </row>
    <row r="29" spans="1:14" ht="14.5">
      <c r="A29" s="7">
        <v>10106</v>
      </c>
      <c r="B29" s="11">
        <v>10108</v>
      </c>
      <c r="C29" s="43">
        <f t="shared" si="0"/>
        <v>70</v>
      </c>
    </row>
    <row r="30" spans="1:14" ht="14.5">
      <c r="A30" s="7">
        <v>10102</v>
      </c>
      <c r="B30" s="11">
        <v>10106</v>
      </c>
      <c r="C30" s="43">
        <f t="shared" si="0"/>
        <v>90</v>
      </c>
    </row>
    <row r="31" spans="1:14" ht="14.5">
      <c r="A31" s="7">
        <v>10110</v>
      </c>
      <c r="B31" s="11">
        <v>10114</v>
      </c>
      <c r="C31" s="43">
        <f t="shared" si="0"/>
        <v>180</v>
      </c>
    </row>
    <row r="32" spans="1:14" ht="14.5">
      <c r="A32" s="7">
        <v>10104</v>
      </c>
      <c r="B32" s="11">
        <v>10106</v>
      </c>
      <c r="C32" s="43">
        <f t="shared" si="0"/>
        <v>60</v>
      </c>
    </row>
    <row r="33" spans="1:3" ht="14.5">
      <c r="A33" s="7">
        <v>10110</v>
      </c>
      <c r="B33" s="11">
        <v>10112</v>
      </c>
      <c r="C33" s="43">
        <f t="shared" si="0"/>
        <v>115</v>
      </c>
    </row>
    <row r="34" spans="1:3" ht="14.5">
      <c r="A34" s="7">
        <v>10100</v>
      </c>
      <c r="B34" s="11">
        <v>10114</v>
      </c>
      <c r="C34" s="43">
        <f t="shared" si="0"/>
        <v>480</v>
      </c>
    </row>
    <row r="35" spans="1:3" ht="14.5">
      <c r="A35" s="9">
        <v>10112</v>
      </c>
      <c r="B35" s="12">
        <v>10116</v>
      </c>
      <c r="C35" s="43">
        <f t="shared" si="0"/>
        <v>105</v>
      </c>
    </row>
  </sheetData>
  <mergeCells count="2">
    <mergeCell ref="C4:O4"/>
    <mergeCell ref="C5:U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Sakshi Bhujbal</cp:lastModifiedBy>
  <dcterms:created xsi:type="dcterms:W3CDTF">2015-02-10T17:33:11Z</dcterms:created>
  <dcterms:modified xsi:type="dcterms:W3CDTF">2024-10-24T12:18:31Z</dcterms:modified>
</cp:coreProperties>
</file>